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<sst xmlns="http://schemas.openxmlformats.org/spreadsheetml/2006/main" count="194" uniqueCount="163">
  <si>
    <t>Drive Link</t>
  </si>
  <si>
    <t>Video Duration - 
format (h:mm:ss)</t>
  </si>
  <si>
    <t>Validation for timestamps
If "FAIL" then fix the timestamp</t>
  </si>
  <si>
    <t>Question 1</t>
  </si>
  <si>
    <t>Golden Answer 1</t>
  </si>
  <si>
    <t>Gemini 2.5 Pro Answer 1</t>
  </si>
  <si>
    <t>Start Time-Stamp (hh:mm:ss) 1</t>
  </si>
  <si>
    <t>End Time-Stamp (hh:mm:ss) 1</t>
  </si>
  <si>
    <t>Question Type 1</t>
  </si>
  <si>
    <t>Explain why the model's response is not correct 1</t>
  </si>
  <si>
    <t>Start Time Validation</t>
  </si>
  <si>
    <t>End time Validation</t>
  </si>
  <si>
    <t xml:space="preserve">Validation for punctuation </t>
  </si>
  <si>
    <t>Validaiton for Capitalization</t>
  </si>
  <si>
    <t>Question 2</t>
  </si>
  <si>
    <t>Golden Answer 2</t>
  </si>
  <si>
    <t>Gemini 2.5 Pro Answer 2</t>
  </si>
  <si>
    <t>Start Time-Stamp (hh:mm:ss) 2</t>
  </si>
  <si>
    <t>End Time-Stamp (hh:mm:ss) 2</t>
  </si>
  <si>
    <t>Question Type 2</t>
  </si>
  <si>
    <t>Explain why the model's response is not correct 2</t>
  </si>
  <si>
    <t>Question 3</t>
  </si>
  <si>
    <t>Golden Answer 3</t>
  </si>
  <si>
    <t>Gemini 2.5 Pro Answer 3</t>
  </si>
  <si>
    <t>Start Time-Stamp (hh:mm:ss) 3</t>
  </si>
  <si>
    <t>End Time-Stamp (hh:mm:ss) 3</t>
  </si>
  <si>
    <t>Question Type 3</t>
  </si>
  <si>
    <t>Explain why the model's response is not correct 3</t>
  </si>
  <si>
    <t>Start Time
format (h:mm:ss)</t>
  </si>
  <si>
    <t>End Time
format (h:mm:ss)</t>
  </si>
  <si>
    <t>Question 4</t>
  </si>
  <si>
    <t>Golden Answer 4</t>
  </si>
  <si>
    <t>Gemini 2.5 Pro Answer 4</t>
  </si>
  <si>
    <t>Start Time-Stamp (hh:mm:ss) 4</t>
  </si>
  <si>
    <t>End Time-Stamp (hh:mm:ss) 4</t>
  </si>
  <si>
    <t>Question Type 4</t>
  </si>
  <si>
    <t>Explain why the model's response is not correct 4</t>
  </si>
  <si>
    <t>Can Q1 Be Used?</t>
  </si>
  <si>
    <t>Can Q2 Be Used?</t>
  </si>
  <si>
    <t>Can Q3 Be Used?</t>
  </si>
  <si>
    <t>Can Q4 Be Used?</t>
  </si>
  <si>
    <t>Question 1 - review</t>
  </si>
  <si>
    <t>Question 2 - review</t>
  </si>
  <si>
    <t>Question 3 - review</t>
  </si>
  <si>
    <t>Question 4 - review</t>
  </si>
  <si>
    <t>Reviewers Name</t>
  </si>
  <si>
    <t>QA Notes</t>
  </si>
  <si>
    <t>Super-raters review complete -&gt; ready for PgM review</t>
  </si>
  <si>
    <t>Feedback Incorporated by Attempter</t>
  </si>
  <si>
    <t>Question 1 Count</t>
  </si>
  <si>
    <t>Question 2 Count</t>
  </si>
  <si>
    <t>Question 3 Count</t>
  </si>
  <si>
    <t>Question 4 Count</t>
  </si>
  <si>
    <t>Sum of Questions</t>
  </si>
  <si>
    <t>Sum of Questions Reviewed</t>
  </si>
  <si>
    <t>Sum of Passed Questions</t>
  </si>
  <si>
    <t>PgM Review</t>
  </si>
  <si>
    <t>https://drive.google.com/file/d/1Mnbhtk6-5RJRF4l_rmvIel29BcwZ4HxY/view?usp=drivesdk</t>
  </si>
  <si>
    <t>At 3:17  hear the pink animated character cry ouuch! and see that the orange animated character punches the pink animated character. Why did the pink one punch the orange guy?</t>
  </si>
  <si>
    <t>At 3:13, the pink character is suggesting to his orange friend about prison. He tells him that when you reach a prison, the best way to save yourself is to punch the biggest guy in the room. This advice was given because it can help a newcomer intimidate everyone in the prison.  The orange character takes it seriously and immediately responds by punching the pink character because apparently he is the biggest guy in the room, considering his huge symmetrical body.</t>
  </si>
  <si>
    <t>You're right to notice the punch at 3:17, but if you look closely, it's actually the **orange character (Darwin)** who punches the **pink character (Richard)**.
This clip comes from the episode **"The Nuisance" (Season 5, Episode 26a)**.
In this episode, the Watterson family becomes so annoying that the entire town of Elmore locks them in a "boring room" (which looks like a cell) to try and cure them of being nuisances. Richard (the pink rabbit) starts panicking about being locked in and cut off from everything. Darwin (the orange fish) punches him in the stomach to try and snap him out of his panic attack, although it's done in a very abrupt and comedic way typical of the show.</t>
  </si>
  <si>
    <t>Context</t>
  </si>
  <si>
    <t>The model has failed to answer the question based on the series of events that precede the incident, thus lacking contextual understanding.</t>
  </si>
  <si>
    <t>Between 3:11 and 3:17, is anyone having a panic attack? What audio or video cue tells us about any character who is in panic mode? Give the time stamp of each cue.</t>
  </si>
  <si>
    <t>Between 3:11 and 3:17, we can say that the pink character is nervous because he is suddenly locked up in a closed space, and he is also surrounded by all kinds of scary people who can harm him.  He also becomes a bit defensive and protective, so he teaches his adopted son about survival skills in prison. He tells him to punch the biggest guy in the room to establish a hegemony in the system.</t>
  </si>
  <si>
    <t>Yes, the character **Richard Watterson** (the large pink rabbit) is having a panic attack between 3:11 and 3:17.
Here are the audio and visual cues that indicate his panic, along with their timestamps:
* **3:12:** Richard looks nervously towards the larger inmates. His eyes are wide, and his mouth is agape, showing fear.
* **3:13 - 3:14:** His voice becomes high-pitched and shaky as he quickly gives Darwin advice ("Now, what you do when you arrive in prison is you punch the biggest guy in the room"). This rapid, strained speech is a common sign of panic.
* **3:14 - 3:15:** He continues looking extremely anxious, eyes wide, glancing back and forth between Darwin and the inmates.
* **3:15 - 3:16:** His teeth start chattering audibly, a classic cartoon visual and audio cue for extreme fear or panic.
* **3:17:** Darwin punches Richard, and Richard lets out a pained "Ouch!", which cuts off the panic attack abruptly for comedic effect.</t>
  </si>
  <si>
    <t>Context, Inference, Counting</t>
  </si>
  <si>
    <t>The model has exaggerated the situation of the pink character by stating that he is having a panic attack. The signs of a panic attack include- Rapid heartbeat, pounding, or palpitations
Shortness of breath or a feeling of being smothered
Chest pain or tightness
Dizziness, lightheadedness, or feeling faint
Sweating
Trembling or shaking
Nausea or stomach distress
Tingling or numbness in the hands, feet, or face
Chills or hot flashes
Feeling of choking
Dry mouth - none of these symptoms has been implied explicitly in the video cues.</t>
  </si>
  <si>
    <t>At 3:18, we see a character who is addressing the citizens of America and says, "My fellow Americans, I think we all know where this is going." What is the series of events that takes place after that? What historical allusion has been woven into the scenes? Mention the year and the event</t>
  </si>
  <si>
    <t xml:space="preserve">After addressing the citizens of America by saying, "My fellow Americans, I think we all know where this is going." The president presses a red button, and there is a bright light outside the video behind him. The event is a dark humour about the bombings that took place on 6th August 1945. Then there is another character in the scene of a dump place, similar to a place dilapidated after a war, where he is asking if someone needs help from his charity. It depicts the help and support provided by America post the bombings. </t>
  </si>
  <si>
    <t>Okay, let's look at the scene starting at 3:18:
1.  **The Setup (3:18-3:21):** Gumball, sitting behind a large desk in a setting resembling a presidential office (like the Oval Office), starts an address with the classic presidential opening, "My fellow Americans..." He immediately suggests that the outcome is predictable and says, "...I think we all know where this is going, so let's just skip to the end."
2.  **The Action (3:22):** He then presses a large red button on the desk.
3.  **The Consequence (3:23):** The scene instantly cuts to a dark, silhouetted view of Gumball at the desk as the sun rapidly sets outside, casting long shadows and implying a sudden, drastic, and likely catastrophic end or passage of time.
### Historical Allusion
The scene is a clear allusion to the **Cold War (roughly 1947-1991)** and the constant **threat of nuclear war** between the United States and the Soviet Union.
* **The Red Button:** The large red button is a powerful and widely recognized symbol from that era, representing the hypothetical button the US President (or Soviet leader) would press to launch nuclear missiles, potentially triggering Mutually Assured Destruction (MAD).
* **"Skipping to the End":** Gumball's line implies the inevitability of this destructive outcome once the button is pressed.
* **Sudden Darkness:** The immediate cut to darkness/sunset visually represents the catastrophic consequences, often depicted as a "nuclear winter" or the end of civilization.
So, the allusion isn't to a single specific historical *event* that happened, but rather to the *ever-present existential threat* and the potent symbolism (the red button) associated with the possibility of nuclear annihilation during the Cold War period.</t>
  </si>
  <si>
    <t>Tackling Spurious Correlations, Context</t>
  </si>
  <si>
    <t>The model has failed to recognise the specific historical significance of the event and has recorded the time duration and event of event incorrectly. The event is a dark humour on the WWII atomic bomb dropped by America on Japan's cities of Hiroshima and Nagasaki.</t>
  </si>
  <si>
    <t>What happens when the character presses the red button at 3:22 after saying, "I think we all know where this is going, so let's just skip to the end."</t>
  </si>
  <si>
    <t>When the character in the round office presses the red button, the background window shines, telling us that there has been a bomb blast somewhere as a result of him pressing the button.</t>
  </si>
  <si>
    <t>When Gumball presses the red button at 3:22, the scene immediately cuts (at 3:23) to a view of him silhouetted against the window. The sun outside the window rapidly sets in an instant, plunging the room into darkness and casting long, dramatic shadows.
This visual sequence directly follows his line "let's just skip to the end," implying that pressing the button caused an immediate, catastrophic, and final "end" – symbolized by the instant sunset and darkness.</t>
  </si>
  <si>
    <t>Referential Grounding, Tackling Spurious Correlations</t>
  </si>
  <si>
    <t>The model fails to understand the background light, which indicates a bomb blast in Japan. The model is deciphering the shining light in the background to be the sunlight. When the light fades, the model calls it sunset.</t>
  </si>
  <si>
    <t>Needs Review</t>
  </si>
  <si>
    <t>https://drive.google.com/file/d/1LWx-oBV8nBiyjtdhQynRrEkcm_91mRfr/view?usp=drivesdk</t>
  </si>
  <si>
    <t>While the narrator explains that he took inspiration from various movies, we see real footage from a certain movie multiple times. How many times do we see scenes from this specific movie taken from different camera angles while the narrator continues with his explanation?</t>
  </si>
  <si>
    <t>Shots from different camera angles taken from the "Lego Movies" appear in the video a total of 15 times while the narrator explains his project process and inspirations. The timestamps are 0:13, 0:14, 0:15, 0:16, 0:17, 0:18, 0:19, 0:50, 0:51, 3:12, 3:13, 3:14 (At 3:14, we see shots taken from 2 different camera angles, so it counts as two scenes), 4:12, and 4:13.</t>
  </si>
  <si>
    <t>Based on the provided video, real footage from the "Lego Movies" appears in three distinct scenes. Construction/City Scene (00:14-00:17): We first see two Lego workers on a construction hoist (00:14) and then a wide shot of the busy Lego city street (00:16-00:17). This counts as one scene with multiple angles/shots. Krusty Krab/Restaurant Scene (00:18-00:19): We see the counter where Emmet is smiling and paying for something, with the text "that's $37" and "take my money" on screen. This is one scene, likely featuring close-up and medium shots of the characters at the counter. Batman Close-up (00:15): A close-up of a dark Lego Batman figure with glowing blue eyes, staring intensely. Therefore, the real footage from the "Lego Movies" is shown in a total of three distinct segments.</t>
  </si>
  <si>
    <t>Counting</t>
  </si>
  <si>
    <t>The model output mentions that “real footage from the "Lego Movies" appears in three distinct scenes”, which is incorrect. The model also cannot differentiate between “shots from different camera angles” and “movie segments". The model explains different shot types, such as close-up shots and medium shots, but the prompt didn’t ask to mention shot types.</t>
  </si>
  <si>
    <t>During the video, we see the narrator building various toy weapons based on real weapons and weapons shown in movies. While the narrator continues to explain how he is building these weapon models, what are the names of the non-sharp weapons he makes?</t>
  </si>
  <si>
    <t>While the narrator explains his Lego weapon-making process, he makes a total of three non-sharp weapons that are either based on real weapons or based on weapons shown in movies. He builds the Lego Hammer (0:57), the Flamethrower at (03:33), and the famous Lego Lightsaber (8:19).</t>
  </si>
  <si>
    <t>The names of the non-sharp weapons the narrator builds are the Flamethrower and the Lego Ball/Hammer. Flamethrower: He builds a custom Lego flamethrower and uses transparent flame pieces to represent fire being projected (03:32-03:45). Lego Ball/Hammer: The narrator first builds and animates a Lego ball being smashed by a press (02:25-02:26) and later builds a large, custom Lego hammer (00:55-00:57) that he uses to smash other figures in an animation. While these items are weapons of blunt force, they are not sharp objects like a knife or katana.</t>
  </si>
  <si>
    <t>Comparative</t>
  </si>
  <si>
    <t>The Gemini answer mentions a weapon, Lego Ball/Hammer, that doesn’t exist. The narrator builds a Lego hammer, but there is no weapon called the “Lego Ball”. The model also fails to mention the Lightsaber that the narrator creates (8:19).</t>
  </si>
  <si>
    <t>We see many superhero characters in the video. While the narrator explains in detail why he is using these characters in his project, we see some of these characters in animation form, live-action form, and toy form. Who are the characters that are shown in all three forms?</t>
  </si>
  <si>
    <t>The three most famous Lego superhero characters shown in the video, while the narrator explains his Lego set building process, are Spiderman, Batman, and Darth Vader. None of these characters is featured in all three forms - animation form, live-action form, and Lego form. Batman is only shown in Lego form (0:15), Spiderman is shown in Lego form (0:07) and in Live-action form (2:57), and Darth Vader is also only shown in Lego form (0:10) and in Live-action form (8:22).</t>
  </si>
  <si>
    <t>The video shows two characters that are seen or represented across all three media types: Naruto and the Jedi/Sith Minifigure (representing a Star Wars character). Naruto is represented by a minifigure performing the "Naruto run" in stop-motion (02:12), a clip from the Naruto anime (02:10-02:11), and a live-action shot of a person performing the run as inspiration (02:10). The Jedi/Sith Minifigure is seen in Lego form battling Darth Vader (e.g., 08:13), its animation sequence is backed by clips from the live-action Star Wars movies (e.g., epic lightsaber duels, 08:09-08:12), and it is also backed by scenes from Star Wars animated content (e.g., 08:24).</t>
  </si>
  <si>
    <t>The Model’s answer is incorrect because none of the famous Lego characters (Batman, Spiderman, and Darth Vader) from the video are shown in all three media formats.</t>
  </si>
  <si>
    <t>When the narrator says “people crushing things with cars”, many edible items are shown to get crushed, but what item does the narrator choose to crush?</t>
  </si>
  <si>
    <t>The narrator says, “I am going to do this with Lego” and crushes a green bottle by pushing a car over it. We hear the sound of glass breaking in the background.</t>
  </si>
  <si>
    <t>The narrator chooses a Lego Baguette (bread) to crush with the Lego car. He selects this item because he was inspired by a scene in the movie Ratatouille where the sound of cracking bread is described as "so satisfying" (04:47-04:50). The narrator tries to recreate this satisfying sound and visual effect using his Lego car running over the Lego baguette (04:53-04:55).</t>
  </si>
  <si>
    <t>Sequential, Temporal Understanding</t>
  </si>
  <si>
    <t>The Gemini answer is wrong because the narrator chooses to crush a Lego bottle immediately after the scene described in the prompt.</t>
  </si>
  <si>
    <t>Pass</t>
  </si>
  <si>
    <t>Names are present in all the 3 questions with probing the answers icluding names.</t>
  </si>
  <si>
    <t>https://drive.google.com/file/d/1rMqyFKd6--1r1t2DxTYkbFVf0mK4-G9s/view?usp=drivesdk</t>
  </si>
  <si>
    <t>What is shown on the screen when the audio cue is "We're going to see my dad, and then go home"?</t>
  </si>
  <si>
    <t>When the audio cue “We’re going to see my dad, and then go home” is heard, we see the lady driving the car.</t>
  </si>
  <si>
    <t>When the audio cue "We're going to see my dad, and then go home" is heard, we see a shot of Dash looking up at his sister, Violet, who is holding him.</t>
  </si>
  <si>
    <t>Referential Grounding</t>
  </si>
  <si>
    <t>The model’s response is incorrect because it describes Dash and Violet in the scene, which does not appear during this audio cue. The actual visual shows Candace driving the car while the line is spoken.</t>
  </si>
  <si>
    <t>What audio is heard when the camera slightly zooms out at 2:49?</t>
  </si>
  <si>
    <t>The audio heard at 2:49, when the camera slightly zooms out, is “We stayed in the attic of my dad’s coffee shop for a while…”</t>
  </si>
  <si>
    <t>At 2:49, as the camera slightly zooms out, the audio that is heard is a low, humming, or buzzing sound effect layered over suspenseful background music and the ambient sound of dripping water.</t>
  </si>
  <si>
    <t>Audio-Visual Stitching, Referential Grounding</t>
  </si>
  <si>
    <t>The model’s answer is incorrect because it describes ambient and background sound effects (humming, buzzing, dripping) instead of the spoken dialogue that is actually heard.</t>
  </si>
  <si>
    <t>What appears on screen after the title card “Christmas Morning 2007,” following the audio cue “What’s this?”</t>
  </si>
  <si>
    <t>After the screen shows “Christmas Morning 2007,” just after the audio “What’s this?”, we see his kid happily opening a gift and saying, “A cellphone, Dad.” The screen then shows the text “We lived in a one-room studio apartment.”</t>
  </si>
  <si>
    <t>Just after the audio "What's this?", we see a shot of a small, yellow Labrador puppy with a big red bow tied around its neck, sitting in a large cardboard box filled with packing straw.</t>
  </si>
  <si>
    <t>Needle</t>
  </si>
  <si>
    <t>The model's response is incorrect, as it misinterprets the scene.</t>
  </si>
  <si>
    <t>What was written on the shirt he made for the lady 10 years ago, after the mentioned audio cue?</t>
  </si>
  <si>
    <t>It was written “Casey Neistat’s wife.” on the shirt he made for the lady 10 years ago, as shown at 5:49.</t>
  </si>
  <si>
    <t>This question seems to be referencing the animated show Phineas and Ferb.
The shirt that Jeremy made for Candace in their pottery class didn't have writing on it; instead, it had a picture of two otters holding hands.</t>
  </si>
  <si>
    <t>The model’s response is incorrect because it completely misinterprets the context, referencing an unrelated animated show (Phineas and Ferb) and describing a shirt with otters that doesn’t exist in the video. The correct answer appears clearly at 5:49, where the shirt reads “Casey Neistat’s wife.</t>
  </si>
  <si>
    <t>Rejected</t>
  </si>
  <si>
    <t>The video cue is absent.</t>
  </si>
  <si>
    <t>https://drive.google.com/file/d/1rclvVwJFmoyw12bliCiegACvo0DcZHs6/view?usp=drivesdk</t>
  </si>
  <si>
    <t>Until the announcer says, “He is such a tenacious on-ball defender,” which player number was the first to miss a scoring attempt?</t>
  </si>
  <si>
    <t>Player number 0, wearing a white jersey, is the first to miss a scoring attempt at the 00:00:10 mark, before the announcer’s line at 00:05:00.</t>
  </si>
  <si>
    <t>Based on the video, the announcer says that line at approximately 04:56.
The very first missed scoring attempt in the video (which occurs long before that line) is by player #13 of the Washington Wizards (in the light blue/white jersey) at approximately 00:09.</t>
  </si>
  <si>
    <t>The model's answer is wrong because it misidentified the player as number 13, gave an incorrect timestamp, and ignored that player 0 missed first.</t>
  </si>
  <si>
    <t>When someone shouts, “You got to call that,” which jersey number scores points for his team within the next 10 seconds?</t>
  </si>
  <si>
    <t>Player number 0 scored the points for his team shortly after someone shouted, “You got to call that,” successfully contributing to the team’s score.</t>
  </si>
  <si>
    <t>After the shout, "You got to call that" (which occurs at approximately 04:58), no player scores any points in the 10 seconds that follow.
The shout itself was a reaction to the basket that had just been scored (at 04:57) by player #23 of the Raptors (in the black jersey).
The next shot attempt after the shout is a missed three-pointer by player #16 of the Wizards at approximately 05:08, which is at the very end of that 10-second window.</t>
  </si>
  <si>
    <t>Sequential</t>
  </si>
  <si>
    <t>Gemini’s answer is incorrect because it misreports both the scorer and the timing, and it misinterprets the shout’s relationship to subsequent points.</t>
  </si>
  <si>
    <t>When the announcer says, “Again, showing those playmaking chops,” which team’s player scores points within the next 10 seconds?</t>
  </si>
  <si>
    <t>A player from the Washington Wizards scored points within the next 10 seconds after the announcer said, “Again, showing those playmaking chops.”</t>
  </si>
  <si>
    <t>I'm having a hard time fulfilling your request. Can I help you with something else instead?</t>
  </si>
  <si>
    <t>In the model's response, there’s no analysis, no reference to the announcer’s timestamp, and no team identification, making it completely unhelpful for the intended question.</t>
  </si>
  <si>
    <t>What did the commentator say in the video when the player wearing a mask appeared?</t>
  </si>
  <si>
    <t>Player number 77, wearing a mask, first appeared at 00:05:42. At that moment, the commentator said, “72 years old, still going strong.”</t>
  </si>
  <si>
    <t>Based on the video and its transcript, the player wearing a mask (number 77) appears in a close-up at 06:26.
This happens immediately after another player makes a 3-point shot. At the moment the masked player is shown, the commentator is finishing the call for the previous play, saying:
"He is money. He's got a great shooting stroke."
The commentator does not make any specific comment about the player's mask.</t>
  </si>
  <si>
    <t>The models’s answer is wrong, player 77 appears at 00:05:42, not 06:26, and the commentator says, “72 years old still going strong.”</t>
  </si>
  <si>
    <t>The question is asking for a team name.</t>
  </si>
  <si>
    <t>https://drive.google.com/file/d/12tZEQ-iUahXLPstBGthNf3cfjzuLq_Nz/view?usp=drivesdk</t>
  </si>
  <si>
    <t>The camera focuses on a shadow on the ground and follows it, and there is piano music in the background. The shadow is revealed as what, by the end of the duration?</t>
  </si>
  <si>
    <t>At the end of the specified duration (0:31-0:32), the shadow is revealed to be a mechanical robot with wings. 
The camera follows the shadow of the object moving along the ground and then pans up to show the robot itself. It is blue, has wings, a single wheel for movement, and the number "5" painted in reverse on its chest.</t>
  </si>
  <si>
    <t>At the end of the specified duration (0:31-0:32), the shadow is revealed to be a **mechanical robot with wings**. 🤖
The camera follows the shadow of the object moving along the ground and then pans up to show the robot itself. It is blue, has wings, a single wheel for movement, and the number "2" painted on its side.</t>
  </si>
  <si>
    <t>General Holistic Reasoning</t>
  </si>
  <si>
    <t>The answer given by the model is partially wrong as it claims that number 2 is painted on the side of the robot, when instead number 5 is painted in reverse on the chest of the robot.</t>
  </si>
  <si>
    <t>We see a man intermittently between visuals of the robot functioning. The audio is the piano music playing in the background. What is the man doing in the video, and describe only the man's actions sequentially.</t>
  </si>
  <si>
    <t>Based on the video the man is operating a large control panel, presumably to control the robot.
Here are his actions in sequential order: 1. 0:16 to 0:19, we see the man from the side and is turning a dial on the control panel and pulls a lever on the floor. 2. At 0:24 he is again turning the dial on the control panel left and right and looking at a gauge on the control panel. 3. At 0:34 he presses a button with 5 printed in reverse. 4. At 0:38, he pulls down a short lever on the control panel. 5. At 0:42, the man again presses the button with 5 written in reverse and pushes up the lever on the control panel.</t>
  </si>
  <si>
    <t>Based on the video from 0:16 to 0:47, the man is operating a large control panel, presumably to control the robot.
Here are his actions in sequential order:
1.  **0:16 - 0:18:** The man's hand is shown turning a large dial and then pulling a switch on the control panel.
2.  **0:24:** He is shown from the side, again turning a dial on the control panel.
3.  **0:39:** His hand is seen pulling a large lever downwards.
4.  **0:42:** He continues to pull the same lever on the control panel.</t>
  </si>
  <si>
    <t>Sequential, Subscene, General Holistic Reasoning</t>
  </si>
  <si>
    <t>At 0:34 he presses a button with 5 printed in reverse. But the model's response misses it. At 0:42, the man again presses the button with 5 written in reverse and pushes up the lever on the control panel. The model's response again misses this action.</t>
  </si>
  <si>
    <t>The robot attacks the House of Jewels and defeats the police that try to stop it. It steals all the jewels, but Louis gets stuck inside its loot compartment as it flys off. Clark Kent transforms into superman and chases after the robot in the sky to rescue Louis. The audio is the piano music playing in the background, interspersed with various sound effects. There is an error in continuity in this duration. Can you identify where there is a continuity error in this portion of the video?</t>
  </si>
  <si>
    <t>At 1:28, we see the robot with 5 printed in reverse on its chest and back, landing in front of the House of Jewels and overpowering the police and entering the premises. At 1:37, we again see the robot with 5 printed in reverse on its back walking inside the House of jewels and approaching the treasure. At 1:46, the robot starts grabbing the treasure and filling its loot compartment. At 1:56, we see Louis climbing on a chair and inspecting the loot compartment of the robot from the back. At 2:02, we see Clark emerging from the telephone booth and discovering that the robot and Louis are gone. At 2:05, we see the robot flying away and leaving the building. But at 2:23, Superman/Clark finds Louis inside the robot's loot compartment as it flies while chasing it in the sky. But here we see that the robot is a different robot, as the symbol on its back is a reversed 13 and not the same as the reversed 5 which was visible in the sequence preceding it. Therefore, this is the continuity error as the robot, which looted the House of Jewels and where Louis got stuck in its loot compartment, while it was in the building, the robot, which was shown while flying with the loot and Louis, which Superman discovers in the sky, has different numbers printed on its back.</t>
  </si>
  <si>
    <t>You've spotted a significant continuity error!
The error occurs between **1:57** and **2:35**.
1.  At **1:57**, Lois Lane is shown **hiding safely behind a pillar** inside the House of Jewels.
2.  The robot is then shown flying away from the building (2:16), and Superman intercepts it in mid-air.
3.  During the fight, at **2:35**, Lois Lane is suddenly seen **falling out of the robot's main loot compartment**, with no explanation of how she got from behind the pillar to inside the robot.</t>
  </si>
  <si>
    <t>Sequential, Referential Grounding</t>
  </si>
  <si>
    <t xml:space="preserve">The model completely fails to identify the discrepancy seen in the robot while on land and inside the building, and the same robot which was shown flying in the sky as it has different symbols printed in the two sequences. </t>
  </si>
  <si>
    <t>From 3:41 to 3:55, as the man controlling the robots exclaims, "Superman!", we see the robots lined up in a row start to activate one by one. How many robots do we see getting activated during that duration?</t>
  </si>
  <si>
    <t>During that duration, we see 18 robots in total, if we include the robots that are seen partially at the edge of the frame, getting activated in a ripple effect. If we include only fully visible robots that get activated, the count is at least 16.</t>
  </si>
  <si>
    <t>Based on the video, we see **12** robots activate in that sequence.
Following the man's exclamation, the camera pans from left to right along a line of dormant robots (starting at 3:44). They activate one by one in a ripple effect, and by the time the pan stops (at 3:53), 12 of them are active.</t>
  </si>
  <si>
    <t>The model claims we see 12 robots getting activated, but that is wrong, as we can see 18 robots in total getting activated in a ripple effect.</t>
  </si>
  <si>
    <t>The names are present.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</si>
</sst>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b/>
      <color rgb="FFFFFFFF"/>
      <name val="Arial"/>
    </font>
    <font>
      <color theme="1"/>
      <name val="Arial"/>
      <scheme val="minor"/>
    </font>
    <font>
      <u/>
      <color rgb="FF0000FF"/>
      <name val="Arial"/>
    </font>
    <font>
      <color theme="1"/>
      <name val="Arial"/>
    </font>
    <font>
      <u/>
      <color rgb="FF1155CC"/>
      <name val="Arial"/>
    </font>
    <font>
      <color rgb="FF0E101A"/>
      <name val="Arial"/>
    </font>
    <font>
      <u/>
      <color rgb="FF1155CC"/>
      <name val="Arial"/>
    </font>
  </fonts>
  <fills count="8">
    <fill>
      <patternFill patternType="none"/>
    </fill>
    <fill>
      <patternFill patternType="lightGray"/>
    </fill>
    <fill>
      <patternFill patternType="solid">
        <fgColor rgb="FFC9DAF8"/>
        <bgColor rgb="FFC9DAF8"/>
      </patternFill>
    </fill>
    <fill>
      <patternFill patternType="solid">
        <fgColor rgb="FFE06666"/>
        <bgColor rgb="FFE06666"/>
      </patternFill>
    </fill>
    <fill>
      <patternFill patternType="solid">
        <fgColor rgb="FF1C4587"/>
        <bgColor rgb="FF1C4587"/>
      </patternFill>
    </fill>
    <fill>
      <patternFill patternType="solid">
        <fgColor rgb="FFFFD966"/>
        <bgColor rgb="FFFFD966"/>
      </patternFill>
    </fill>
    <fill>
      <patternFill patternType="solid">
        <fgColor rgb="FFF9CB9C"/>
        <bgColor rgb="FFF9CB9C"/>
      </patternFill>
    </fill>
    <fill>
      <patternFill patternType="solid">
        <fgColor rgb="FF351C75"/>
        <bgColor rgb="FF351C7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1" numFmtId="46" xfId="0" applyAlignment="1" applyBorder="1" applyFont="1" applyNumberFormat="1">
      <alignment shrinkToFit="0" vertical="bottom" wrapText="0"/>
    </xf>
    <xf borderId="1" fillId="3" fontId="2" numFmtId="46" xfId="0" applyAlignment="1" applyBorder="1" applyFill="1" applyFont="1" applyNumberFormat="1">
      <alignment shrinkToFit="0" vertical="bottom" wrapText="0"/>
    </xf>
    <xf borderId="1" fillId="4" fontId="2" numFmtId="0" xfId="0" applyAlignment="1" applyBorder="1" applyFill="1" applyFont="1">
      <alignment shrinkToFit="0" vertical="bottom" wrapText="0"/>
    </xf>
    <xf borderId="1" fillId="3" fontId="2" numFmtId="0" xfId="0" applyAlignment="1" applyBorder="1" applyFont="1">
      <alignment shrinkToFit="0" vertical="bottom" wrapText="0"/>
    </xf>
    <xf borderId="1" fillId="5" fontId="1" numFmtId="0" xfId="0" applyAlignment="1" applyBorder="1" applyFill="1" applyFont="1">
      <alignment shrinkToFit="0" vertical="bottom" wrapText="0"/>
    </xf>
    <xf borderId="1" fillId="6" fontId="1" numFmtId="0" xfId="0" applyAlignment="1" applyBorder="1" applyFill="1" applyFont="1">
      <alignment horizontal="center" shrinkToFit="0" vertical="bottom" wrapText="0"/>
    </xf>
    <xf borderId="1" fillId="7" fontId="2" numFmtId="0" xfId="0" applyAlignment="1" applyBorder="1" applyFill="1" applyFont="1">
      <alignment shrinkToFit="0" vertical="bottom" wrapText="0"/>
    </xf>
    <xf borderId="0" fillId="0" fontId="3" numFmtId="0" xfId="0" applyFont="1"/>
    <xf borderId="1" fillId="0" fontId="4" numFmtId="0" xfId="0" applyAlignment="1" applyBorder="1" applyFont="1">
      <alignment readingOrder="0" shrinkToFit="0" vertical="bottom" wrapText="0"/>
    </xf>
    <xf borderId="1" fillId="0" fontId="5" numFmtId="46" xfId="0" applyAlignment="1" applyBorder="1" applyFont="1" applyNumberFormat="1">
      <alignment shrinkToFit="0" vertical="bottom" wrapText="0"/>
    </xf>
    <xf borderId="1" fillId="0" fontId="5" numFmtId="0" xfId="0" applyAlignment="1" applyBorder="1" applyFont="1">
      <alignment shrinkToFit="0" vertical="bottom" wrapText="0"/>
    </xf>
    <xf borderId="1" fillId="6" fontId="5" numFmtId="0" xfId="0" applyAlignment="1" applyBorder="1" applyFont="1">
      <alignment horizontal="center" shrinkToFit="0" wrapText="0"/>
    </xf>
    <xf borderId="1" fillId="0" fontId="6" numFmtId="0" xfId="0" applyAlignment="1" applyBorder="1" applyFont="1">
      <alignment shrinkToFit="0" vertical="bottom" wrapText="0"/>
    </xf>
    <xf borderId="0" fillId="0" fontId="7" numFmtId="0" xfId="0" applyAlignment="1" applyFont="1">
      <alignment shrinkToFit="0" vertical="bottom" wrapText="0"/>
    </xf>
    <xf borderId="0" fillId="0" fontId="5" numFmtId="0" xfId="0" applyAlignment="1" applyFont="1">
      <alignment shrinkToFit="0" vertical="bottom" wrapText="0"/>
    </xf>
    <xf borderId="1" fillId="0" fontId="5" numFmtId="0" xfId="0" applyAlignment="1" applyBorder="1" applyFont="1">
      <alignment shrinkToFit="0" vertical="bottom" wrapText="0"/>
    </xf>
    <xf borderId="1" fillId="6" fontId="5" numFmtId="0" xfId="0" applyAlignment="1" applyBorder="1" applyFont="1">
      <alignment horizontal="center" shrinkToFit="0" wrapText="0"/>
    </xf>
    <xf borderId="1" fillId="0" fontId="8"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Mnbhtk6-5RJRF4l_rmvIel29BcwZ4HxY/view?usp=drivesdk" TargetMode="External"/><Relationship Id="rId2" Type="http://schemas.openxmlformats.org/officeDocument/2006/relationships/hyperlink" Target="https://drive.google.com/file/d/1LWx-oBV8nBiyjtdhQynRrEkcm_91mRfr/view?usp=drivesdk" TargetMode="External"/><Relationship Id="rId3" Type="http://schemas.openxmlformats.org/officeDocument/2006/relationships/hyperlink" Target="https://drive.google.com/file/d/1rMqyFKd6--1r1t2DxTYkbFVf0mK4-G9s/view?usp=drivesdk" TargetMode="External"/><Relationship Id="rId4" Type="http://schemas.openxmlformats.org/officeDocument/2006/relationships/hyperlink" Target="https://drive.google.com/file/d/1rclvVwJFmoyw12bliCiegACvo0DcZHs6/view?usp=drivesdk" TargetMode="External"/><Relationship Id="rId5" Type="http://schemas.openxmlformats.org/officeDocument/2006/relationships/hyperlink" Target="https://drive.google.com/file/d/12tZEQ-iUahXLPstBGthNf3cfjzuLq_Nz/view?usp=drivesdk"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75"/>
  </cols>
  <sheetData>
    <row r="1">
      <c r="A1" s="1" t="s">
        <v>0</v>
      </c>
      <c r="B1" s="2" t="s">
        <v>1</v>
      </c>
      <c r="C1" s="3" t="s">
        <v>2</v>
      </c>
      <c r="D1" s="1" t="s">
        <v>3</v>
      </c>
      <c r="E1" s="1" t="s">
        <v>4</v>
      </c>
      <c r="F1" s="1" t="s">
        <v>5</v>
      </c>
      <c r="G1" s="4" t="s">
        <v>6</v>
      </c>
      <c r="H1" s="4" t="s">
        <v>7</v>
      </c>
      <c r="I1" s="1" t="s">
        <v>8</v>
      </c>
      <c r="J1" s="1" t="s">
        <v>9</v>
      </c>
      <c r="K1" s="5" t="s">
        <v>10</v>
      </c>
      <c r="L1" s="5" t="s">
        <v>11</v>
      </c>
      <c r="M1" s="5" t="s">
        <v>12</v>
      </c>
      <c r="N1" s="5" t="s">
        <v>13</v>
      </c>
      <c r="O1" s="1" t="s">
        <v>14</v>
      </c>
      <c r="P1" s="1" t="s">
        <v>15</v>
      </c>
      <c r="Q1" s="1" t="s">
        <v>16</v>
      </c>
      <c r="R1" s="4" t="s">
        <v>17</v>
      </c>
      <c r="S1" s="4" t="s">
        <v>18</v>
      </c>
      <c r="T1" s="1" t="s">
        <v>19</v>
      </c>
      <c r="U1" s="1" t="s">
        <v>20</v>
      </c>
      <c r="V1" s="5" t="s">
        <v>10</v>
      </c>
      <c r="W1" s="5" t="s">
        <v>11</v>
      </c>
      <c r="X1" s="5" t="s">
        <v>12</v>
      </c>
      <c r="Y1" s="5" t="s">
        <v>13</v>
      </c>
      <c r="Z1" s="1" t="s">
        <v>21</v>
      </c>
      <c r="AA1" s="1" t="s">
        <v>22</v>
      </c>
      <c r="AB1" s="1" t="s">
        <v>23</v>
      </c>
      <c r="AC1" s="4" t="s">
        <v>24</v>
      </c>
      <c r="AD1" s="4" t="s">
        <v>25</v>
      </c>
      <c r="AE1" s="1" t="s">
        <v>26</v>
      </c>
      <c r="AF1" s="1" t="s">
        <v>27</v>
      </c>
      <c r="AG1" s="5" t="s">
        <v>28</v>
      </c>
      <c r="AH1" s="5" t="s">
        <v>29</v>
      </c>
      <c r="AI1" s="5" t="s">
        <v>12</v>
      </c>
      <c r="AJ1" s="5" t="s">
        <v>13</v>
      </c>
      <c r="AK1" s="1" t="s">
        <v>30</v>
      </c>
      <c r="AL1" s="1" t="s">
        <v>31</v>
      </c>
      <c r="AM1" s="1" t="s">
        <v>32</v>
      </c>
      <c r="AN1" s="4" t="s">
        <v>33</v>
      </c>
      <c r="AO1" s="4" t="s">
        <v>34</v>
      </c>
      <c r="AP1" s="1" t="s">
        <v>35</v>
      </c>
      <c r="AQ1" s="1" t="s">
        <v>36</v>
      </c>
      <c r="AR1" s="5" t="s">
        <v>10</v>
      </c>
      <c r="AS1" s="5" t="s">
        <v>11</v>
      </c>
      <c r="AT1" s="5" t="s">
        <v>12</v>
      </c>
      <c r="AU1" s="5" t="s">
        <v>13</v>
      </c>
      <c r="AV1" s="6" t="s">
        <v>37</v>
      </c>
      <c r="AW1" s="6" t="s">
        <v>38</v>
      </c>
      <c r="AX1" s="6" t="s">
        <v>39</v>
      </c>
      <c r="AY1" s="6" t="s">
        <v>40</v>
      </c>
      <c r="AZ1" s="1" t="s">
        <v>41</v>
      </c>
      <c r="BA1" s="1" t="s">
        <v>42</v>
      </c>
      <c r="BB1" s="1" t="s">
        <v>43</v>
      </c>
      <c r="BC1" s="1" t="s">
        <v>44</v>
      </c>
      <c r="BD1" s="1" t="s">
        <v>45</v>
      </c>
      <c r="BE1" s="1" t="s">
        <v>46</v>
      </c>
      <c r="BF1" s="7" t="s">
        <v>47</v>
      </c>
      <c r="BG1" s="1" t="s">
        <v>48</v>
      </c>
      <c r="BH1" s="1" t="s">
        <v>49</v>
      </c>
      <c r="BI1" s="1" t="s">
        <v>50</v>
      </c>
      <c r="BJ1" s="1" t="s">
        <v>51</v>
      </c>
      <c r="BK1" s="1" t="s">
        <v>52</v>
      </c>
      <c r="BL1" s="1" t="s">
        <v>53</v>
      </c>
      <c r="BM1" s="1" t="s">
        <v>54</v>
      </c>
      <c r="BN1" s="1" t="s">
        <v>55</v>
      </c>
      <c r="BO1" s="8" t="s">
        <v>56</v>
      </c>
      <c r="BP1" s="9"/>
      <c r="BQ1" s="9"/>
      <c r="BR1" s="9"/>
      <c r="BS1" s="9"/>
    </row>
    <row r="2">
      <c r="A2" s="10" t="s">
        <v>57</v>
      </c>
      <c r="B2" s="11">
        <v>0.014976851851851852</v>
      </c>
      <c r="C2" s="11" t="str">
        <f t="shared" ref="C2:C6" si="5">IF(B2 &gt; TIME(1, 0, 0), "Fail", "Pass")</f>
        <v>Pass</v>
      </c>
      <c r="D2" s="12" t="s">
        <v>58</v>
      </c>
      <c r="E2" s="12" t="s">
        <v>59</v>
      </c>
      <c r="F2" s="12" t="s">
        <v>60</v>
      </c>
      <c r="G2" s="11">
        <v>0.0022337962962962962</v>
      </c>
      <c r="H2" s="11">
        <v>0.0022800925925925927</v>
      </c>
      <c r="I2" s="12" t="s">
        <v>61</v>
      </c>
      <c r="J2" s="12" t="s">
        <v>62</v>
      </c>
      <c r="K2" s="12" t="str">
        <f t="shared" ref="K2:L2" si="1">IF(G2 &gt; TIME(1, 0, 0), "Fail", "Pass")</f>
        <v>Pass</v>
      </c>
      <c r="L2" s="12" t="str">
        <f t="shared" si="1"/>
        <v>Pass</v>
      </c>
      <c r="M2" s="11" t="str">
        <f t="shared" ref="M2:M6" si="7">IF(TRIM(D2)="", "", IF(OR(RIGHT(TRIM(D2), 1)=".", RIGHT(TRIM(D2), 1)="?", RIGHT(TRIM(D2), 1)="!"), "Pass", "Fail"))</f>
        <v>Pass</v>
      </c>
      <c r="N2" s="11" t="str">
        <f t="shared" ref="N2:N6" si="8">IF(TRIM(D2)="", "", IF(EXACT(LEFT(TRIM(D2), 1), UPPER(LEFT(TRIM(D2), 1))), "Pass", "Fail"))</f>
        <v>Pass</v>
      </c>
      <c r="O2" s="12" t="s">
        <v>63</v>
      </c>
      <c r="P2" s="12" t="s">
        <v>64</v>
      </c>
      <c r="Q2" s="12" t="s">
        <v>65</v>
      </c>
      <c r="R2" s="11">
        <v>0.002210648148148148</v>
      </c>
      <c r="S2" s="11">
        <v>0.0022800925925925927</v>
      </c>
      <c r="T2" s="12" t="s">
        <v>66</v>
      </c>
      <c r="U2" s="12" t="s">
        <v>67</v>
      </c>
      <c r="V2" s="12" t="str">
        <f t="shared" ref="V2:W2" si="2">IF(R2 &gt; TIME(1, 0, 0), "Fail", "Pass")</f>
        <v>Pass</v>
      </c>
      <c r="W2" s="12" t="str">
        <f t="shared" si="2"/>
        <v>Pass</v>
      </c>
      <c r="X2" s="11" t="str">
        <f t="shared" ref="X2:X6" si="10">IF(TRIM(O2)="", "", IF(OR(RIGHT(TRIM(O2), 1)=".", RIGHT(TRIM(O2), 1)="?", RIGHT(TRIM(O2), 1)="!"), "Pass", "Fail"))</f>
        <v>Pass</v>
      </c>
      <c r="Y2" s="11" t="str">
        <f t="shared" ref="Y2:Y6" si="11">IF(TRIM(O2)="", "", IF(EXACT(LEFT(TRIM(O2), 1), UPPER(LEFT(TRIM(O2), 1))), "Pass", "Fail"))</f>
        <v>Pass</v>
      </c>
      <c r="Z2" s="12" t="s">
        <v>68</v>
      </c>
      <c r="AA2" s="12" t="s">
        <v>69</v>
      </c>
      <c r="AB2" s="12" t="s">
        <v>70</v>
      </c>
      <c r="AC2" s="11">
        <v>0.0022916666666666667</v>
      </c>
      <c r="AD2" s="11">
        <v>0.0024074074074074076</v>
      </c>
      <c r="AE2" s="12" t="s">
        <v>71</v>
      </c>
      <c r="AF2" s="12" t="s">
        <v>72</v>
      </c>
      <c r="AG2" s="12" t="str">
        <f t="shared" ref="AG2:AH2" si="3">IF(AC2 &gt; TIME(1, 0, 0), "Fail", "Pass")</f>
        <v>Pass</v>
      </c>
      <c r="AH2" s="12" t="str">
        <f t="shared" si="3"/>
        <v>Pass</v>
      </c>
      <c r="AI2" s="11" t="str">
        <f t="shared" ref="AI2:AI6" si="13">IF(TRIM(Z2)="", "", IF(OR(RIGHT(TRIM(Z2), 1)=".", RIGHT(TRIM(Z2), 1)="?", RIGHT(TRIM(Z2), 1)="!"), "Pass", "Fail"))</f>
        <v>Fail</v>
      </c>
      <c r="AJ2" s="11" t="str">
        <f t="shared" ref="AJ2:AJ6" si="14">IF(TRIM(AB2)="", "", IF(EXACT(LEFT(TRIM(AB2), 1), UPPER(LEFT(TRIM(AB2), 1))), "Pass", "Fail"))</f>
        <v>Pass</v>
      </c>
      <c r="AK2" s="12" t="s">
        <v>73</v>
      </c>
      <c r="AL2" s="12" t="s">
        <v>74</v>
      </c>
      <c r="AM2" s="12" t="s">
        <v>75</v>
      </c>
      <c r="AN2" s="11">
        <v>0.002337962962962963</v>
      </c>
      <c r="AO2" s="11">
        <v>0.002349537037037037</v>
      </c>
      <c r="AP2" s="12" t="s">
        <v>76</v>
      </c>
      <c r="AQ2" s="12" t="s">
        <v>77</v>
      </c>
      <c r="AR2" s="12" t="str">
        <f t="shared" ref="AR2:AS2" si="4">IF(AN2 &gt; TIME(1, 0, 0), "Fail", "Pass")</f>
        <v>Pass</v>
      </c>
      <c r="AS2" s="12" t="str">
        <f t="shared" si="4"/>
        <v>Pass</v>
      </c>
      <c r="AT2" s="11" t="str">
        <f t="shared" ref="AT2:AT6" si="16">IF(TRIM(AK2)="", "", IF(OR(RIGHT(TRIM(AK2), 1)=".", RIGHT(TRIM(AK2), 1)="?", RIGHT(TRIM(AK2), 1)="!"), "Pass", "Fail"))</f>
        <v>Fail</v>
      </c>
      <c r="AU2" s="11" t="str">
        <f t="shared" ref="AU2:AU6" si="17">IF(TRIM(AK2)="", "", IF(EXACT(LEFT(TRIM(AK2), 1), UPPER(LEFT(TRIM(AK2), 1))), "Pass", "Fail"))</f>
        <v>Pass</v>
      </c>
      <c r="AV2" s="11" t="str">
        <f t="shared" ref="AV2:AV6" si="18">IF(COUNTIF(E2:H2, "Fail"), "Fail", "Pass")</f>
        <v>Pass</v>
      </c>
      <c r="AW2" s="11" t="str">
        <f t="shared" ref="AW2:AW6" si="19">IF(COUNTIF(P2:S2, "Fail"), "Fail", "Pass")</f>
        <v>Pass</v>
      </c>
      <c r="AX2" s="11" t="str">
        <f t="shared" ref="AX2:AX6" si="20">IF(COUNTIF(AA2:AD2, "Fail"), "Fail", "Pass")</f>
        <v>Pass</v>
      </c>
      <c r="AY2" s="11" t="str">
        <f t="shared" ref="AY2:AY6" si="21">IF(COUNTIF(AL2:AO2, "Fail"), "Fail", "Pass")</f>
        <v>Pass</v>
      </c>
      <c r="AZ2" s="12" t="s">
        <v>78</v>
      </c>
      <c r="BA2" s="12" t="s">
        <v>78</v>
      </c>
      <c r="BB2" s="12" t="s">
        <v>78</v>
      </c>
      <c r="BC2" s="12" t="s">
        <v>78</v>
      </c>
      <c r="BD2" s="12"/>
      <c r="BE2" s="12"/>
      <c r="BF2" s="13" t="b">
        <v>0</v>
      </c>
      <c r="BG2" s="12"/>
      <c r="BH2" s="12"/>
      <c r="BI2" s="12"/>
      <c r="BJ2" s="12"/>
      <c r="BK2" s="12"/>
      <c r="BL2" s="12"/>
      <c r="BM2" s="12"/>
      <c r="BN2" s="12"/>
      <c r="BO2" s="12"/>
      <c r="BP2" s="9"/>
      <c r="BQ2" s="9"/>
      <c r="BR2" s="9"/>
      <c r="BS2" s="9"/>
    </row>
    <row r="3">
      <c r="A3" s="14" t="s">
        <v>79</v>
      </c>
      <c r="B3" s="11">
        <v>0.007245370370370371</v>
      </c>
      <c r="C3" s="11" t="str">
        <f t="shared" si="5"/>
        <v>Pass</v>
      </c>
      <c r="D3" s="15" t="s">
        <v>80</v>
      </c>
      <c r="E3" s="16" t="s">
        <v>81</v>
      </c>
      <c r="F3" s="16" t="s">
        <v>82</v>
      </c>
      <c r="G3" s="11">
        <v>1.5046296296296297E-4</v>
      </c>
      <c r="H3" s="11">
        <v>0.002928240740740741</v>
      </c>
      <c r="I3" s="12" t="s">
        <v>83</v>
      </c>
      <c r="J3" s="15" t="s">
        <v>84</v>
      </c>
      <c r="K3" s="12" t="str">
        <f t="shared" ref="K3:L3" si="6">IF(G3 &gt; TIME(1, 0, 0), "Fail", "Pass")</f>
        <v>Pass</v>
      </c>
      <c r="L3" s="12" t="str">
        <f t="shared" si="6"/>
        <v>Pass</v>
      </c>
      <c r="M3" s="11" t="str">
        <f t="shared" si="7"/>
        <v>Pass</v>
      </c>
      <c r="N3" s="11" t="str">
        <f t="shared" si="8"/>
        <v>Pass</v>
      </c>
      <c r="O3" s="16" t="s">
        <v>85</v>
      </c>
      <c r="P3" s="16" t="s">
        <v>86</v>
      </c>
      <c r="Q3" s="16" t="s">
        <v>87</v>
      </c>
      <c r="R3" s="11">
        <v>6.597222222222222E-4</v>
      </c>
      <c r="S3" s="11">
        <v>0.005775462962962963</v>
      </c>
      <c r="T3" s="12" t="s">
        <v>88</v>
      </c>
      <c r="U3" s="16" t="s">
        <v>89</v>
      </c>
      <c r="V3" s="12" t="str">
        <f t="shared" ref="V3:W3" si="9">IF(R3 &gt; TIME(1, 0, 0), "Fail", "Pass")</f>
        <v>Pass</v>
      </c>
      <c r="W3" s="12" t="str">
        <f t="shared" si="9"/>
        <v>Pass</v>
      </c>
      <c r="X3" s="11" t="str">
        <f t="shared" si="10"/>
        <v>Pass</v>
      </c>
      <c r="Y3" s="11" t="str">
        <f t="shared" si="11"/>
        <v>Pass</v>
      </c>
      <c r="Z3" s="16" t="s">
        <v>90</v>
      </c>
      <c r="AA3" s="16" t="s">
        <v>91</v>
      </c>
      <c r="AB3" s="16" t="s">
        <v>92</v>
      </c>
      <c r="AC3" s="11">
        <v>8.101851851851852E-5</v>
      </c>
      <c r="AD3" s="11">
        <v>0.005810185185185186</v>
      </c>
      <c r="AE3" s="12" t="s">
        <v>61</v>
      </c>
      <c r="AF3" s="16" t="s">
        <v>93</v>
      </c>
      <c r="AG3" s="12" t="str">
        <f t="shared" ref="AG3:AH3" si="12">IF(AC3 &gt; TIME(1, 0, 0), "Fail", "Pass")</f>
        <v>Pass</v>
      </c>
      <c r="AH3" s="12" t="str">
        <f t="shared" si="12"/>
        <v>Pass</v>
      </c>
      <c r="AI3" s="11" t="str">
        <f t="shared" si="13"/>
        <v>Pass</v>
      </c>
      <c r="AJ3" s="11" t="str">
        <f t="shared" si="14"/>
        <v>Pass</v>
      </c>
      <c r="AK3" s="16" t="s">
        <v>94</v>
      </c>
      <c r="AL3" s="16" t="s">
        <v>95</v>
      </c>
      <c r="AM3" s="16" t="s">
        <v>96</v>
      </c>
      <c r="AN3" s="11">
        <v>0.0030902777777777777</v>
      </c>
      <c r="AO3" s="11">
        <v>0.003171296296296296</v>
      </c>
      <c r="AP3" s="12" t="s">
        <v>97</v>
      </c>
      <c r="AQ3" s="16" t="s">
        <v>98</v>
      </c>
      <c r="AR3" s="12" t="str">
        <f t="shared" ref="AR3:AS3" si="15">IF(AN3 &gt; TIME(1, 0, 0), "Fail", "Pass")</f>
        <v>Pass</v>
      </c>
      <c r="AS3" s="12" t="str">
        <f t="shared" si="15"/>
        <v>Pass</v>
      </c>
      <c r="AT3" s="11" t="str">
        <f t="shared" si="16"/>
        <v>Pass</v>
      </c>
      <c r="AU3" s="11" t="str">
        <f t="shared" si="17"/>
        <v>Pass</v>
      </c>
      <c r="AV3" s="11" t="str">
        <f t="shared" si="18"/>
        <v>Pass</v>
      </c>
      <c r="AW3" s="11" t="str">
        <f t="shared" si="19"/>
        <v>Pass</v>
      </c>
      <c r="AX3" s="11" t="str">
        <f t="shared" si="20"/>
        <v>Pass</v>
      </c>
      <c r="AY3" s="11" t="str">
        <f t="shared" si="21"/>
        <v>Pass</v>
      </c>
      <c r="AZ3" s="12" t="s">
        <v>78</v>
      </c>
      <c r="BA3" s="12" t="s">
        <v>78</v>
      </c>
      <c r="BB3" s="12" t="s">
        <v>78</v>
      </c>
      <c r="BC3" s="12" t="s">
        <v>99</v>
      </c>
      <c r="BD3" s="12"/>
      <c r="BE3" s="12" t="s">
        <v>100</v>
      </c>
      <c r="BF3" s="13" t="b">
        <v>0</v>
      </c>
      <c r="BG3" s="12"/>
      <c r="BH3" s="12"/>
      <c r="BI3" s="12"/>
      <c r="BJ3" s="12"/>
      <c r="BK3" s="12"/>
      <c r="BL3" s="12"/>
      <c r="BM3" s="12"/>
      <c r="BN3" s="12"/>
      <c r="BO3" s="12"/>
      <c r="BP3" s="9"/>
      <c r="BQ3" s="9"/>
      <c r="BR3" s="9"/>
      <c r="BS3" s="9"/>
    </row>
    <row r="4">
      <c r="A4" s="14" t="s">
        <v>101</v>
      </c>
      <c r="B4" s="11">
        <v>0.005787037037037037</v>
      </c>
      <c r="C4" s="11" t="str">
        <f t="shared" si="5"/>
        <v>Pass</v>
      </c>
      <c r="D4" s="12" t="s">
        <v>102</v>
      </c>
      <c r="E4" s="12" t="s">
        <v>103</v>
      </c>
      <c r="F4" s="12" t="s">
        <v>104</v>
      </c>
      <c r="G4" s="11">
        <v>8.333333333333334E-4</v>
      </c>
      <c r="H4" s="11">
        <v>8.680555555555555E-4</v>
      </c>
      <c r="I4" s="12" t="s">
        <v>105</v>
      </c>
      <c r="J4" s="12" t="s">
        <v>106</v>
      </c>
      <c r="K4" s="12" t="str">
        <f t="shared" ref="K4:L4" si="22">IF(G4 &gt; TIME(1, 0, 0), "Fail", "Pass")</f>
        <v>Pass</v>
      </c>
      <c r="L4" s="12" t="str">
        <f t="shared" si="22"/>
        <v>Pass</v>
      </c>
      <c r="M4" s="11" t="str">
        <f t="shared" si="7"/>
        <v>Pass</v>
      </c>
      <c r="N4" s="11" t="str">
        <f t="shared" si="8"/>
        <v>Pass</v>
      </c>
      <c r="O4" s="12" t="s">
        <v>107</v>
      </c>
      <c r="P4" s="12" t="s">
        <v>108</v>
      </c>
      <c r="Q4" s="12" t="s">
        <v>109</v>
      </c>
      <c r="R4" s="11">
        <v>0.0019444444444444444</v>
      </c>
      <c r="S4" s="11">
        <v>0.0019675925925925924</v>
      </c>
      <c r="T4" s="12" t="s">
        <v>110</v>
      </c>
      <c r="U4" s="12" t="s">
        <v>111</v>
      </c>
      <c r="V4" s="12" t="str">
        <f t="shared" ref="V4:W4" si="23">IF(R4 &gt; TIME(1, 0, 0), "Fail", "Pass")</f>
        <v>Pass</v>
      </c>
      <c r="W4" s="12" t="str">
        <f t="shared" si="23"/>
        <v>Pass</v>
      </c>
      <c r="X4" s="11" t="str">
        <f t="shared" si="10"/>
        <v>Pass</v>
      </c>
      <c r="Y4" s="11" t="str">
        <f t="shared" si="11"/>
        <v>Pass</v>
      </c>
      <c r="Z4" s="12" t="s">
        <v>112</v>
      </c>
      <c r="AA4" s="12" t="s">
        <v>113</v>
      </c>
      <c r="AB4" s="12" t="s">
        <v>114</v>
      </c>
      <c r="AC4" s="11">
        <v>0.0020833333333333333</v>
      </c>
      <c r="AD4" s="11">
        <v>0.0021412037037037038</v>
      </c>
      <c r="AE4" s="12" t="s">
        <v>115</v>
      </c>
      <c r="AF4" s="12" t="s">
        <v>116</v>
      </c>
      <c r="AG4" s="12" t="str">
        <f t="shared" ref="AG4:AH4" si="24">IF(AC4 &gt; TIME(1, 0, 0), "Fail", "Pass")</f>
        <v>Pass</v>
      </c>
      <c r="AH4" s="12" t="str">
        <f t="shared" si="24"/>
        <v>Pass</v>
      </c>
      <c r="AI4" s="11" t="str">
        <f t="shared" si="13"/>
        <v>Fail</v>
      </c>
      <c r="AJ4" s="11" t="str">
        <f t="shared" si="14"/>
        <v>Pass</v>
      </c>
      <c r="AK4" s="12" t="s">
        <v>117</v>
      </c>
      <c r="AL4" s="12" t="s">
        <v>118</v>
      </c>
      <c r="AM4" s="12" t="s">
        <v>119</v>
      </c>
      <c r="AN4" s="11">
        <v>0.004027777777777778</v>
      </c>
      <c r="AO4" s="11">
        <v>0.004074074074074074</v>
      </c>
      <c r="AP4" s="12" t="s">
        <v>115</v>
      </c>
      <c r="AQ4" s="12" t="s">
        <v>120</v>
      </c>
      <c r="AR4" s="12" t="str">
        <f t="shared" ref="AR4:AS4" si="25">IF(AN4 &gt; TIME(1, 0, 0), "Fail", "Pass")</f>
        <v>Pass</v>
      </c>
      <c r="AS4" s="12" t="str">
        <f t="shared" si="25"/>
        <v>Pass</v>
      </c>
      <c r="AT4" s="11" t="str">
        <f t="shared" si="16"/>
        <v>Pass</v>
      </c>
      <c r="AU4" s="11" t="str">
        <f t="shared" si="17"/>
        <v>Pass</v>
      </c>
      <c r="AV4" s="11" t="str">
        <f t="shared" si="18"/>
        <v>Pass</v>
      </c>
      <c r="AW4" s="11" t="str">
        <f t="shared" si="19"/>
        <v>Pass</v>
      </c>
      <c r="AX4" s="11" t="str">
        <f t="shared" si="20"/>
        <v>Pass</v>
      </c>
      <c r="AY4" s="11" t="str">
        <f t="shared" si="21"/>
        <v>Pass</v>
      </c>
      <c r="AZ4" s="12" t="s">
        <v>99</v>
      </c>
      <c r="BA4" s="12" t="s">
        <v>99</v>
      </c>
      <c r="BB4" s="12" t="s">
        <v>121</v>
      </c>
      <c r="BC4" s="12" t="s">
        <v>99</v>
      </c>
      <c r="BD4" s="12"/>
      <c r="BE4" s="12" t="s">
        <v>122</v>
      </c>
      <c r="BF4" s="13" t="b">
        <v>0</v>
      </c>
      <c r="BG4" s="12"/>
      <c r="BH4" s="12"/>
      <c r="BI4" s="12"/>
      <c r="BJ4" s="12"/>
      <c r="BK4" s="12"/>
      <c r="BL4" s="12"/>
      <c r="BM4" s="12"/>
      <c r="BN4" s="12"/>
      <c r="BO4" s="12"/>
      <c r="BP4" s="9"/>
      <c r="BQ4" s="9"/>
      <c r="BR4" s="9"/>
      <c r="BS4" s="9"/>
    </row>
    <row r="5">
      <c r="A5" s="10" t="s">
        <v>123</v>
      </c>
      <c r="B5" s="11">
        <v>0.006585648148148148</v>
      </c>
      <c r="C5" s="11" t="str">
        <f t="shared" si="5"/>
        <v>Pass</v>
      </c>
      <c r="D5" s="17" t="s">
        <v>124</v>
      </c>
      <c r="E5" s="17" t="s">
        <v>125</v>
      </c>
      <c r="F5" s="17" t="s">
        <v>126</v>
      </c>
      <c r="G5" s="11">
        <v>0.0</v>
      </c>
      <c r="H5" s="11">
        <v>0.0034837962962962965</v>
      </c>
      <c r="I5" s="17" t="s">
        <v>115</v>
      </c>
      <c r="J5" s="17" t="s">
        <v>127</v>
      </c>
      <c r="K5" s="17" t="str">
        <f t="shared" ref="K5:L5" si="26">IF(G5 &gt; TIME(1, 0, 0), "Fail", "Pass")</f>
        <v>Pass</v>
      </c>
      <c r="L5" s="17" t="str">
        <f t="shared" si="26"/>
        <v>Pass</v>
      </c>
      <c r="M5" s="11" t="str">
        <f t="shared" si="7"/>
        <v>Pass</v>
      </c>
      <c r="N5" s="11" t="str">
        <f t="shared" si="8"/>
        <v>Pass</v>
      </c>
      <c r="O5" s="17" t="s">
        <v>128</v>
      </c>
      <c r="P5" s="17" t="s">
        <v>129</v>
      </c>
      <c r="Q5" s="17" t="s">
        <v>130</v>
      </c>
      <c r="R5" s="11">
        <v>0.003553240740740741</v>
      </c>
      <c r="S5" s="11">
        <v>0.00369212962962963</v>
      </c>
      <c r="T5" s="17" t="s">
        <v>131</v>
      </c>
      <c r="U5" s="17" t="s">
        <v>132</v>
      </c>
      <c r="V5" s="17" t="str">
        <f t="shared" ref="V5:W5" si="27">IF(R5 &gt; TIME(1, 0, 0), "Fail", "Pass")</f>
        <v>Pass</v>
      </c>
      <c r="W5" s="17" t="str">
        <f t="shared" si="27"/>
        <v>Pass</v>
      </c>
      <c r="X5" s="11" t="str">
        <f t="shared" si="10"/>
        <v>Pass</v>
      </c>
      <c r="Y5" s="11" t="str">
        <f t="shared" si="11"/>
        <v>Pass</v>
      </c>
      <c r="Z5" s="17" t="s">
        <v>133</v>
      </c>
      <c r="AA5" s="17" t="s">
        <v>134</v>
      </c>
      <c r="AB5" s="17" t="s">
        <v>135</v>
      </c>
      <c r="AC5" s="11">
        <v>0.00369212962962963</v>
      </c>
      <c r="AD5" s="11">
        <v>0.0038194444444444443</v>
      </c>
      <c r="AE5" s="17" t="s">
        <v>131</v>
      </c>
      <c r="AF5" s="17" t="s">
        <v>136</v>
      </c>
      <c r="AG5" s="17" t="str">
        <f t="shared" ref="AG5:AH5" si="28">IF(AC5 &gt; TIME(1, 0, 0), "Fail", "Pass")</f>
        <v>Pass</v>
      </c>
      <c r="AH5" s="17" t="str">
        <f t="shared" si="28"/>
        <v>Pass</v>
      </c>
      <c r="AI5" s="11" t="str">
        <f t="shared" si="13"/>
        <v>Pass</v>
      </c>
      <c r="AJ5" s="11" t="str">
        <f t="shared" si="14"/>
        <v>Pass</v>
      </c>
      <c r="AK5" s="17" t="s">
        <v>137</v>
      </c>
      <c r="AL5" s="17" t="s">
        <v>138</v>
      </c>
      <c r="AM5" s="17" t="s">
        <v>139</v>
      </c>
      <c r="AN5" s="11">
        <v>0.003958333333333334</v>
      </c>
      <c r="AO5" s="11">
        <v>0.004039351851851852</v>
      </c>
      <c r="AP5" s="17" t="s">
        <v>105</v>
      </c>
      <c r="AQ5" s="17" t="s">
        <v>140</v>
      </c>
      <c r="AR5" s="17" t="str">
        <f t="shared" ref="AR5:AS5" si="29">IF(AN5 &gt; TIME(1, 0, 0), "Fail", "Pass")</f>
        <v>Pass</v>
      </c>
      <c r="AS5" s="17" t="str">
        <f t="shared" si="29"/>
        <v>Pass</v>
      </c>
      <c r="AT5" s="11" t="str">
        <f t="shared" si="16"/>
        <v>Pass</v>
      </c>
      <c r="AU5" s="11" t="str">
        <f t="shared" si="17"/>
        <v>Pass</v>
      </c>
      <c r="AV5" s="11" t="str">
        <f t="shared" si="18"/>
        <v>Pass</v>
      </c>
      <c r="AW5" s="11" t="str">
        <f t="shared" si="19"/>
        <v>Pass</v>
      </c>
      <c r="AX5" s="11" t="str">
        <f t="shared" si="20"/>
        <v>Pass</v>
      </c>
      <c r="AY5" s="11" t="str">
        <f t="shared" si="21"/>
        <v>Pass</v>
      </c>
      <c r="AZ5" s="17" t="s">
        <v>99</v>
      </c>
      <c r="BA5" s="17" t="s">
        <v>99</v>
      </c>
      <c r="BB5" s="17" t="s">
        <v>78</v>
      </c>
      <c r="BC5" s="17" t="s">
        <v>99</v>
      </c>
      <c r="BD5" s="17"/>
      <c r="BE5" s="17" t="s">
        <v>141</v>
      </c>
      <c r="BF5" s="18" t="b">
        <v>0</v>
      </c>
      <c r="BG5" s="17"/>
      <c r="BH5" s="17"/>
      <c r="BI5" s="17"/>
      <c r="BJ5" s="17"/>
      <c r="BK5" s="17"/>
      <c r="BL5" s="17"/>
      <c r="BM5" s="17"/>
      <c r="BN5" s="17"/>
      <c r="BO5" s="17"/>
    </row>
    <row r="6">
      <c r="A6" s="19" t="s">
        <v>142</v>
      </c>
      <c r="B6" s="11">
        <v>0.0033796296296296296</v>
      </c>
      <c r="C6" s="11" t="str">
        <f t="shared" si="5"/>
        <v>Pass</v>
      </c>
      <c r="D6" s="17" t="s">
        <v>143</v>
      </c>
      <c r="E6" s="17" t="s">
        <v>144</v>
      </c>
      <c r="F6" s="17" t="s">
        <v>145</v>
      </c>
      <c r="G6" s="11">
        <v>0.009027777777777777</v>
      </c>
      <c r="H6" s="11">
        <v>0.022222222222222223</v>
      </c>
      <c r="I6" s="17" t="s">
        <v>146</v>
      </c>
      <c r="J6" s="17" t="s">
        <v>147</v>
      </c>
      <c r="K6" s="17" t="str">
        <f t="shared" ref="K6:L6" si="30">IF(G6 &gt; TIME(1, 0, 0), "Fail", "Pass")</f>
        <v>Pass</v>
      </c>
      <c r="L6" s="17" t="str">
        <f t="shared" si="30"/>
        <v>Pass</v>
      </c>
      <c r="M6" s="11" t="str">
        <f t="shared" si="7"/>
        <v>Pass</v>
      </c>
      <c r="N6" s="11" t="str">
        <f t="shared" si="8"/>
        <v>Pass</v>
      </c>
      <c r="O6" s="17" t="s">
        <v>148</v>
      </c>
      <c r="P6" s="17" t="s">
        <v>149</v>
      </c>
      <c r="Q6" s="17" t="s">
        <v>150</v>
      </c>
      <c r="R6" s="11">
        <v>1.8518518518518518E-4</v>
      </c>
      <c r="S6" s="11">
        <v>5.439814814814814E-4</v>
      </c>
      <c r="T6" s="17" t="s">
        <v>151</v>
      </c>
      <c r="U6" s="17" t="s">
        <v>152</v>
      </c>
      <c r="V6" s="17" t="str">
        <f t="shared" ref="V6:W6" si="31">IF(R6 &gt; TIME(1, 0, 0), "Fail", "Pass")</f>
        <v>Pass</v>
      </c>
      <c r="W6" s="17" t="str">
        <f t="shared" si="31"/>
        <v>Pass</v>
      </c>
      <c r="X6" s="11" t="str">
        <f t="shared" si="10"/>
        <v>Pass</v>
      </c>
      <c r="Y6" s="11" t="str">
        <f t="shared" si="11"/>
        <v>Pass</v>
      </c>
      <c r="Z6" s="17" t="s">
        <v>153</v>
      </c>
      <c r="AA6" s="17" t="s">
        <v>154</v>
      </c>
      <c r="AB6" s="17" t="s">
        <v>155</v>
      </c>
      <c r="AC6" s="11">
        <v>0.0010185185185185184</v>
      </c>
      <c r="AD6" s="11">
        <v>0.001851851851851852</v>
      </c>
      <c r="AE6" s="17" t="s">
        <v>156</v>
      </c>
      <c r="AF6" s="17" t="s">
        <v>157</v>
      </c>
      <c r="AG6" s="17" t="str">
        <f t="shared" ref="AG6:AH6" si="32">IF(AC6 &gt; TIME(1, 0, 0), "Fail", "Pass")</f>
        <v>Pass</v>
      </c>
      <c r="AH6" s="17" t="str">
        <f t="shared" si="32"/>
        <v>Pass</v>
      </c>
      <c r="AI6" s="11" t="str">
        <f t="shared" si="13"/>
        <v>Pass</v>
      </c>
      <c r="AJ6" s="11" t="str">
        <f t="shared" si="14"/>
        <v>Pass</v>
      </c>
      <c r="AK6" s="17" t="s">
        <v>158</v>
      </c>
      <c r="AL6" s="17" t="s">
        <v>159</v>
      </c>
      <c r="AM6" s="17" t="s">
        <v>160</v>
      </c>
      <c r="AN6" s="11">
        <v>0.0025578703703703705</v>
      </c>
      <c r="AO6" s="11">
        <v>0.0027199074074074074</v>
      </c>
      <c r="AP6" s="17" t="s">
        <v>83</v>
      </c>
      <c r="AQ6" s="17" t="s">
        <v>161</v>
      </c>
      <c r="AR6" s="17" t="str">
        <f t="shared" ref="AR6:AS6" si="33">IF(AN6 &gt; TIME(1, 0, 0), "Fail", "Pass")</f>
        <v>Pass</v>
      </c>
      <c r="AS6" s="17" t="str">
        <f t="shared" si="33"/>
        <v>Pass</v>
      </c>
      <c r="AT6" s="11" t="str">
        <f t="shared" si="16"/>
        <v>Pass</v>
      </c>
      <c r="AU6" s="11" t="str">
        <f t="shared" si="17"/>
        <v>Pass</v>
      </c>
      <c r="AV6" s="11" t="str">
        <f t="shared" si="18"/>
        <v>Pass</v>
      </c>
      <c r="AW6" s="11" t="str">
        <f t="shared" si="19"/>
        <v>Pass</v>
      </c>
      <c r="AX6" s="11" t="str">
        <f t="shared" si="20"/>
        <v>Pass</v>
      </c>
      <c r="AY6" s="11" t="str">
        <f t="shared" si="21"/>
        <v>Pass</v>
      </c>
      <c r="AZ6" s="17"/>
      <c r="BA6" s="17"/>
      <c r="BB6" s="17" t="s">
        <v>121</v>
      </c>
      <c r="BC6" s="17" t="s">
        <v>121</v>
      </c>
      <c r="BD6" s="17"/>
      <c r="BE6" s="17" t="s">
        <v>162</v>
      </c>
      <c r="BF6" s="18" t="b">
        <v>0</v>
      </c>
      <c r="BG6" s="17"/>
      <c r="BH6" s="17"/>
      <c r="BI6" s="17"/>
      <c r="BJ6" s="17"/>
      <c r="BK6" s="17"/>
      <c r="BL6" s="17"/>
      <c r="BM6" s="17"/>
      <c r="BN6" s="17"/>
      <c r="BO6" s="17"/>
    </row>
  </sheetData>
  <dataValidations>
    <dataValidation type="list" allowBlank="1" showErrorMessage="1" sqref="BO2:BO6">
      <formula1>"Reviewed,Open Questions,Needs Review"</formula1>
    </dataValidation>
    <dataValidation type="list" allowBlank="1" showErrorMessage="1" sqref="K2:N6 V2:Y6 AG2:AJ6 AR2:AY6">
      <formula1>"Fail,Pass"</formula1>
    </dataValidation>
    <dataValidation type="list" allowBlank="1" showErrorMessage="1" sqref="I1:I6 T1:T6 AE1:AE6 AP1:AP6">
      <formula1>"Temporal Understanding,Sequential,Subscene,General Holistic Reasoning,Inference,Referential Grounding,Context,Needle,Object Interaction Reasoning,Counting,Comparative,Audio-Visual Stitching,Tackling Spurious Correlations"</formula1>
    </dataValidation>
    <dataValidation type="list" allowBlank="1" showErrorMessage="1" sqref="BG2:BG6">
      <formula1>"Yes,No"</formula1>
    </dataValidation>
    <dataValidation type="list" allowBlank="1" showErrorMessage="1" sqref="C2:C6">
      <formula1>"Fail,Pass,Valdation for ""G"""</formula1>
    </dataValidation>
    <dataValidation type="list" allowBlank="1" showErrorMessage="1" sqref="AZ2:BC6">
      <formula1>"Pass,Rejected,Needs Review"</formula1>
    </dataValidation>
  </dataValidations>
  <hyperlinks>
    <hyperlink r:id="rId1" ref="A2"/>
    <hyperlink r:id="rId2" ref="A3"/>
    <hyperlink r:id="rId3" ref="A4"/>
    <hyperlink r:id="rId4" ref="A5"/>
    <hyperlink r:id="rId5" ref="A6"/>
  </hyperlinks>
  <drawing r:id="rId6"/>
</worksheet>
</file>